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81408385-FF23-4C44-96BA-E4048A96375C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Dataset!$A$1:$E$32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</calcChain>
</file>

<file path=xl/sharedStrings.xml><?xml version="1.0" encoding="utf-8"?>
<sst xmlns="http://schemas.openxmlformats.org/spreadsheetml/2006/main" count="152" uniqueCount="117">
  <si>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</si>
  <si>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</si>
  <si>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</si>
  <si>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</si>
  <si>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</si>
  <si>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</si>
  <si>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</si>
  <si>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</si>
  <si>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</si>
  <si>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</si>
  <si>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</si>
  <si>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</si>
  <si>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</si>
  <si>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</si>
  <si>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</si>
  <si>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</si>
  <si>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</si>
  <si>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</si>
  <si>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</si>
  <si>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</si>
  <si>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</si>
  <si>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Price ($)</t>
  </si>
  <si>
    <t>Quantity</t>
  </si>
  <si>
    <t>Category</t>
  </si>
  <si>
    <t>Brand Name2</t>
  </si>
  <si>
    <t>Manufacturing Date</t>
  </si>
  <si>
    <t>Country Code</t>
  </si>
  <si>
    <t>Product Brand</t>
  </si>
  <si>
    <t>28-JAN-US</t>
  </si>
  <si>
    <t>Laptop</t>
  </si>
  <si>
    <t>Electronics</t>
  </si>
  <si>
    <t>Dell</t>
  </si>
  <si>
    <t>15-FEB-US</t>
  </si>
  <si>
    <t>Sneakers</t>
  </si>
  <si>
    <t>Fashion</t>
  </si>
  <si>
    <t>Nike</t>
  </si>
  <si>
    <t>03-MAR-US</t>
  </si>
  <si>
    <t>Coffee Maker</t>
  </si>
  <si>
    <t>Kitchen</t>
  </si>
  <si>
    <t>Keurig</t>
  </si>
  <si>
    <t>11-APR-US</t>
  </si>
  <si>
    <t>Smartphone</t>
  </si>
  <si>
    <t>Samsung</t>
  </si>
  <si>
    <t>22-MAY-US</t>
  </si>
  <si>
    <t>Backpack</t>
  </si>
  <si>
    <t>Unknown</t>
  </si>
  <si>
    <t>North Face</t>
  </si>
  <si>
    <t>07-JUN-UK</t>
  </si>
  <si>
    <t>Headphones</t>
  </si>
  <si>
    <t>Electronic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</si>
  <si>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</si>
  <si>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</si>
  <si>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</si>
  <si>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</si>
  <si>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</si>
  <si>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</si>
  <si>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</si>
  <si>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</si>
  <si>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</si>
  <si>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</si>
  <si>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</si>
  <si>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</si>
  <si>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Outdoor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</si>
  <si>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</si>
  <si>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</si>
  <si>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</si>
  <si>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</si>
  <si>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</si>
  <si>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</si>
  <si>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</si>
  <si>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</si>
  <si>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</si>
  <si>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</si>
  <si>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</si>
  <si>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</si>
  <si>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</si>
  <si>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Accessories</t>
  </si>
  <si>
    <t>Samsonite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</si>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</sst>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£&quot;#,##0.00"/>
    <numFmt numFmtId="167" formatCode="d\.m\.yy;@"/>
    <numFmt numFmtId="168" formatCode="dd\-mm\-yyyy"/>
  </numFmts>
  <fonts count="8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5" fillId="3" borderId="0" xfId="0" applyFont="1" applyFill="1" applyAlignment="1"/>
    <xf numFmtId="165" fontId="5" fillId="3" borderId="0" xfId="0" applyNumberFormat="1" applyFont="1" applyFill="1" applyAlignment="1">
      <alignment horizontal="center"/>
    </xf>
    <xf numFmtId="167" fontId="5" fillId="0" borderId="0" xfId="0" applyNumberFormat="1" applyFont="1"/>
    <xf numFmtId="167" fontId="5" fillId="3" borderId="0" xfId="0" applyNumberFormat="1" applyFont="1" applyFill="1"/>
    <xf numFmtId="168" fontId="5" fillId="3" borderId="0" xfId="0" applyNumberFormat="1" applyFont="1" applyFill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dd\-mm\-yyyy"/>
      <fill>
        <patternFill patternType="solid">
          <fgColor rgb="FFE0F7FA"/>
          <bgColor rgb="FFE0F7FA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£&quot;#,##0.00"/>
      <fill>
        <patternFill patternType="solid">
          <fgColor rgb="FFE0F7FA"/>
          <bgColor rgb="FFE0F7FA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7" formatCode="d\.m\.yy;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4C50CD-54BD-4AF3-B2FE-A04AD23DACC1}" name="Table3" displayName="Table3" ref="A1:I32" totalsRowShown="0" headerRowDxfId="10" dataDxfId="9">
  <autoFilter ref="A1:I32" xr:uid="{00000000-0001-0000-0100-000000000000}"/>
  <tableColumns count="9">
    <tableColumn id="1" xr3:uid="{67519393-9D2F-46FC-862E-A6551D92273F}" name="Product ID" dataDxfId="8"/>
    <tableColumn id="3" xr3:uid="{7684F00E-6815-464B-8E98-C977E642C1A6}" name="Product Name" dataDxfId="7"/>
    <tableColumn id="4" xr3:uid="{D351E893-2A09-4CE3-8AEB-027C7483269C}" name="Price ($)" dataDxfId="6"/>
    <tableColumn id="5" xr3:uid="{D561A216-9047-404C-A828-FBA1AFC9BFCA}" name="Quantity" dataDxfId="5"/>
    <tableColumn id="6" xr3:uid="{83332125-C0C7-4B21-A98F-20AE4D452FDA}" name="Category" dataDxfId="4"/>
    <tableColumn id="12" xr3:uid="{24578E33-6C42-45EC-BEBA-7C4ED4E24F9D}" name="Brand Name2" dataDxfId="3"/>
    <tableColumn id="13" xr3:uid="{2547DFC1-6A6A-44CC-913A-A80913D21168}" name="Manufacturing Date" dataDxfId="2"/>
    <tableColumn id="14" xr3:uid="{21EC82FB-1324-48C0-A737-FAFE16D4D728}" name="Country Code" dataDxfId="1">
      <calculatedColumnFormula>_xlfn.TEXTAFTER(A2,"-",2)</calculatedColumnFormula>
    </tableColumn>
    <tableColumn id="15" xr3:uid="{A7128F63-AEC7-4D7A-BD1B-7841C5912812}" name="Product Brand" dataDxfId="0">
      <calculatedColumnFormula>B2&amp;" "&amp;F2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5" workbookViewId="0">
      <selection activeCell="C25" sqref="C25:L25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11" ht="15.75" customHeight="1">
      <c r="A1" s="1" t="s">
        <v>0</v>
      </c>
    </row>
    <row r="2" spans="1:11" ht="15.75" customHeight="1"/>
    <row r="3" spans="1:11" ht="15.75" customHeight="1">
      <c r="B3" s="2" t="s">
        <v>1</v>
      </c>
    </row>
    <row r="4" spans="1:11" ht="15.75" customHeight="1">
      <c r="C4" s="3" t="s">
        <v>2</v>
      </c>
    </row>
    <row r="5" spans="1:11" ht="15.75" customHeight="1">
      <c r="B5" s="4"/>
      <c r="C5" s="3" t="s">
        <v>3</v>
      </c>
    </row>
    <row r="6" spans="1:11" ht="15.75" customHeight="1">
      <c r="B6" s="4"/>
    </row>
    <row r="7" spans="1:11" ht="15.75" customHeight="1">
      <c r="B7" s="2" t="s">
        <v>4</v>
      </c>
    </row>
    <row r="8" spans="1:11" ht="15.75" customHeight="1">
      <c r="C8" s="3" t="s">
        <v>5</v>
      </c>
    </row>
    <row r="9" spans="1:11" ht="15.75" customHeight="1">
      <c r="C9" s="3" t="s">
        <v>6</v>
      </c>
    </row>
    <row r="10" spans="1:11" ht="15.75" customHeight="1">
      <c r="C10" s="3" t="s">
        <v>7</v>
      </c>
    </row>
    <row r="11" spans="1:11" ht="15.75" customHeight="1">
      <c r="B11" s="4"/>
    </row>
    <row r="12" spans="1:11" ht="15.75" customHeight="1">
      <c r="B12" s="2" t="s">
        <v>8</v>
      </c>
    </row>
    <row r="13" spans="1:11" ht="15.75" customHeight="1">
      <c r="B13" s="2"/>
      <c r="C13" s="3" t="s">
        <v>9</v>
      </c>
    </row>
    <row r="14" spans="1:11" ht="15.75" customHeight="1"/>
    <row r="15" spans="1:11" ht="15.75" customHeight="1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A1" xr:uid="{D18454C9-2C3A-4EC9-BA97-E230E94AC9F2}">
      <formula1>"male, female,others"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tabSelected="1" topLeftCell="A20" workbookViewId="0">
      <selection activeCell="E2" sqref="E2:E32"/>
    </sheetView>
  </sheetViews>
  <sheetFormatPr defaultColWidth="12.5703125" defaultRowHeight="15" customHeight="1"/>
  <cols>
    <col min="1" max="1" width="12.85546875" customWidth="1"/>
    <col min="2" max="2" width="16.140625" customWidth="1"/>
    <col min="3" max="3" width="14.42578125" customWidth="1"/>
    <col min="4" max="6" width="12.5703125" customWidth="1"/>
    <col min="7" max="7" width="19.140625" customWidth="1"/>
    <col min="8" max="8" width="20.7109375" customWidth="1"/>
    <col min="9" max="9" width="26.140625" customWidth="1"/>
  </cols>
  <sheetData>
    <row r="1" spans="1:9" ht="15.75" customHeight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13" t="s">
        <v>24</v>
      </c>
      <c r="G1" s="9" t="s">
        <v>25</v>
      </c>
      <c r="H1" s="9" t="s">
        <v>26</v>
      </c>
      <c r="I1" s="9" t="s">
        <v>27</v>
      </c>
    </row>
    <row r="2" spans="1:9" ht="15.75" customHeight="1">
      <c r="A2" s="16" t="s">
        <v>28</v>
      </c>
      <c r="B2" s="10" t="s">
        <v>29</v>
      </c>
      <c r="C2" s="15">
        <v>1000</v>
      </c>
      <c r="D2" s="10">
        <v>30</v>
      </c>
      <c r="E2" s="11" t="s">
        <v>30</v>
      </c>
      <c r="F2" s="12" t="s">
        <v>31</v>
      </c>
      <c r="G2" s="18">
        <v>46050</v>
      </c>
      <c r="H2" s="11" t="str">
        <f t="shared" ref="H2:H32" si="0">_xlfn.TEXTAFTER(A2,"-",2)</f>
        <v>US</v>
      </c>
      <c r="I2" s="14" t="str">
        <f t="shared" ref="I2:I32" si="1">B2&amp;" "&amp;F2</f>
        <v>Laptop Dell</v>
      </c>
    </row>
    <row r="3" spans="1:9" ht="15.75" customHeight="1">
      <c r="A3" s="17" t="s">
        <v>32</v>
      </c>
      <c r="B3" s="11" t="s">
        <v>33</v>
      </c>
      <c r="C3" s="15">
        <v>80</v>
      </c>
      <c r="D3" s="11">
        <v>15</v>
      </c>
      <c r="E3" s="11" t="s">
        <v>34</v>
      </c>
      <c r="F3" s="12" t="s">
        <v>35</v>
      </c>
      <c r="G3" s="18">
        <v>46068</v>
      </c>
      <c r="H3" s="11" t="str">
        <f t="shared" si="0"/>
        <v>US</v>
      </c>
      <c r="I3" s="14" t="str">
        <f t="shared" si="1"/>
        <v>Sneakers Nike</v>
      </c>
    </row>
    <row r="4" spans="1:9" ht="15.75" customHeight="1">
      <c r="A4" s="16" t="s">
        <v>36</v>
      </c>
      <c r="B4" s="10" t="s">
        <v>37</v>
      </c>
      <c r="C4" s="15">
        <v>130</v>
      </c>
      <c r="D4" s="10">
        <v>40</v>
      </c>
      <c r="E4" s="11" t="s">
        <v>38</v>
      </c>
      <c r="F4" s="12" t="s">
        <v>39</v>
      </c>
      <c r="G4" s="18">
        <v>46084</v>
      </c>
      <c r="H4" s="11" t="str">
        <f t="shared" si="0"/>
        <v>US</v>
      </c>
      <c r="I4" s="14" t="str">
        <f t="shared" si="1"/>
        <v>Coffee Maker Keurig</v>
      </c>
    </row>
    <row r="5" spans="1:9" ht="15.75" customHeight="1">
      <c r="A5" s="17" t="s">
        <v>40</v>
      </c>
      <c r="B5" s="11" t="s">
        <v>41</v>
      </c>
      <c r="C5" s="15">
        <v>900</v>
      </c>
      <c r="D5" s="11">
        <v>25</v>
      </c>
      <c r="E5" s="11" t="s">
        <v>30</v>
      </c>
      <c r="F5" s="12" t="s">
        <v>42</v>
      </c>
      <c r="G5" s="18">
        <v>46123</v>
      </c>
      <c r="H5" s="11" t="str">
        <f t="shared" si="0"/>
        <v>US</v>
      </c>
      <c r="I5" s="14" t="str">
        <f t="shared" si="1"/>
        <v>Smartphone Samsung</v>
      </c>
    </row>
    <row r="6" spans="1:9" ht="15.75" customHeight="1">
      <c r="A6" s="16" t="s">
        <v>43</v>
      </c>
      <c r="B6" s="10" t="s">
        <v>44</v>
      </c>
      <c r="C6" s="15">
        <v>70</v>
      </c>
      <c r="D6" s="10">
        <v>20</v>
      </c>
      <c r="E6" s="11" t="s">
        <v>45</v>
      </c>
      <c r="F6" s="12" t="s">
        <v>46</v>
      </c>
      <c r="G6" s="18">
        <v>46164</v>
      </c>
      <c r="H6" s="11" t="str">
        <f t="shared" si="0"/>
        <v>US</v>
      </c>
      <c r="I6" s="14" t="str">
        <f t="shared" si="1"/>
        <v>Backpack North Face</v>
      </c>
    </row>
    <row r="7" spans="1:9" ht="15.75" customHeight="1">
      <c r="A7" s="17" t="s">
        <v>47</v>
      </c>
      <c r="B7" s="11" t="s">
        <v>48</v>
      </c>
      <c r="C7" s="15">
        <v>30</v>
      </c>
      <c r="D7" s="11">
        <v>45</v>
      </c>
      <c r="E7" s="11" t="s">
        <v>49</v>
      </c>
      <c r="F7" s="12" t="s">
        <v>50</v>
      </c>
      <c r="G7" s="18">
        <v>46180</v>
      </c>
      <c r="H7" s="11" t="str">
        <f t="shared" si="0"/>
        <v>UK</v>
      </c>
      <c r="I7" s="14" t="str">
        <f t="shared" si="1"/>
        <v>Headphones Sony</v>
      </c>
    </row>
    <row r="8" spans="1:9" ht="15.75" customHeight="1">
      <c r="A8" s="16" t="s">
        <v>51</v>
      </c>
      <c r="B8" s="10" t="s">
        <v>52</v>
      </c>
      <c r="C8" s="15">
        <v>30</v>
      </c>
      <c r="D8" s="10">
        <v>5</v>
      </c>
      <c r="E8" s="11" t="s">
        <v>34</v>
      </c>
      <c r="F8" s="12" t="s">
        <v>53</v>
      </c>
      <c r="G8" s="18">
        <v>46222</v>
      </c>
      <c r="H8" s="11" t="str">
        <f t="shared" si="0"/>
        <v>UK</v>
      </c>
      <c r="I8" s="14" t="str">
        <f t="shared" si="1"/>
        <v>T-Shirt Adidas</v>
      </c>
    </row>
    <row r="9" spans="1:9" ht="15.75" customHeight="1">
      <c r="A9" s="17" t="s">
        <v>54</v>
      </c>
      <c r="B9" s="11" t="s">
        <v>55</v>
      </c>
      <c r="C9" s="15">
        <v>90</v>
      </c>
      <c r="D9" s="11">
        <v>35</v>
      </c>
      <c r="E9" s="11" t="s">
        <v>38</v>
      </c>
      <c r="F9" s="12" t="s">
        <v>56</v>
      </c>
      <c r="G9" s="18">
        <v>46257</v>
      </c>
      <c r="H9" s="11" t="str">
        <f t="shared" si="0"/>
        <v>UK</v>
      </c>
      <c r="I9" s="14" t="str">
        <f t="shared" si="1"/>
        <v>Blender Ninja</v>
      </c>
    </row>
    <row r="10" spans="1:9" ht="15.75" customHeight="1">
      <c r="A10" s="16" t="s">
        <v>57</v>
      </c>
      <c r="B10" s="10" t="s">
        <v>58</v>
      </c>
      <c r="C10" s="15">
        <v>500</v>
      </c>
      <c r="D10" s="10">
        <v>50</v>
      </c>
      <c r="E10" s="11" t="s">
        <v>30</v>
      </c>
      <c r="F10" s="12" t="s">
        <v>59</v>
      </c>
      <c r="G10" s="18">
        <v>46270</v>
      </c>
      <c r="H10" s="11" t="str">
        <f t="shared" si="0"/>
        <v>UK</v>
      </c>
      <c r="I10" s="14" t="str">
        <f t="shared" si="1"/>
        <v>Tablet Apple</v>
      </c>
    </row>
    <row r="11" spans="1:9" ht="15.75" customHeight="1">
      <c r="A11" s="17" t="s">
        <v>60</v>
      </c>
      <c r="B11" s="11" t="s">
        <v>61</v>
      </c>
      <c r="C11" s="15">
        <v>130</v>
      </c>
      <c r="D11" s="11">
        <v>10</v>
      </c>
      <c r="E11" s="11" t="s">
        <v>62</v>
      </c>
      <c r="F11" s="12" t="s">
        <v>63</v>
      </c>
      <c r="G11" s="18">
        <v>46309</v>
      </c>
      <c r="H11" s="11" t="str">
        <f t="shared" si="0"/>
        <v>UK</v>
      </c>
      <c r="I11" s="14" t="str">
        <f t="shared" si="1"/>
        <v>Hiking Boots Timberland</v>
      </c>
    </row>
    <row r="12" spans="1:9" ht="15.75" customHeight="1">
      <c r="A12" s="16" t="s">
        <v>64</v>
      </c>
      <c r="B12" s="10" t="s">
        <v>29</v>
      </c>
      <c r="C12" s="15">
        <v>950</v>
      </c>
      <c r="D12" s="10">
        <v>25</v>
      </c>
      <c r="E12" s="11" t="s">
        <v>30</v>
      </c>
      <c r="F12" s="12" t="s">
        <v>65</v>
      </c>
      <c r="G12" s="18">
        <v>46190</v>
      </c>
      <c r="H12" s="11" t="str">
        <f t="shared" si="0"/>
        <v>IN</v>
      </c>
      <c r="I12" s="14" t="str">
        <f t="shared" si="1"/>
        <v>Laptop HP</v>
      </c>
    </row>
    <row r="13" spans="1:9" ht="15.75" customHeight="1">
      <c r="A13" s="17" t="s">
        <v>66</v>
      </c>
      <c r="B13" s="11" t="s">
        <v>33</v>
      </c>
      <c r="C13" s="15">
        <v>90</v>
      </c>
      <c r="D13" s="11">
        <v>40</v>
      </c>
      <c r="E13" s="11" t="s">
        <v>45</v>
      </c>
      <c r="F13" s="12" t="s">
        <v>53</v>
      </c>
      <c r="G13" s="18">
        <v>46351</v>
      </c>
      <c r="H13" s="11" t="str">
        <f t="shared" si="0"/>
        <v>AU</v>
      </c>
      <c r="I13" s="14" t="str">
        <f t="shared" si="1"/>
        <v>Sneakers Adidas</v>
      </c>
    </row>
    <row r="14" spans="1:9" ht="15.75" customHeight="1">
      <c r="A14" s="16" t="s">
        <v>67</v>
      </c>
      <c r="B14" s="10" t="s">
        <v>37</v>
      </c>
      <c r="C14" s="15">
        <v>120</v>
      </c>
      <c r="D14" s="10">
        <v>35</v>
      </c>
      <c r="E14" s="11" t="s">
        <v>45</v>
      </c>
      <c r="F14" s="12" t="s">
        <v>68</v>
      </c>
      <c r="G14" s="18">
        <v>46364</v>
      </c>
      <c r="H14" s="11" t="str">
        <f t="shared" si="0"/>
        <v>DE</v>
      </c>
      <c r="I14" s="14" t="str">
        <f t="shared" si="1"/>
        <v>Coffee Maker Nespresso</v>
      </c>
    </row>
    <row r="15" spans="1:9" ht="15.75" customHeight="1">
      <c r="A15" s="17" t="s">
        <v>69</v>
      </c>
      <c r="B15" s="11" t="s">
        <v>70</v>
      </c>
      <c r="C15" s="15">
        <v>150</v>
      </c>
      <c r="D15" s="11">
        <v>15</v>
      </c>
      <c r="E15" s="11" t="s">
        <v>30</v>
      </c>
      <c r="F15" s="12" t="s">
        <v>71</v>
      </c>
      <c r="G15" s="18">
        <v>46071</v>
      </c>
      <c r="H15" s="11" t="str">
        <f t="shared" si="0"/>
        <v>CA</v>
      </c>
      <c r="I15" s="14" t="str">
        <f t="shared" si="1"/>
        <v>Smartwatch Fitbit</v>
      </c>
    </row>
    <row r="16" spans="1:9" ht="15.75" customHeight="1">
      <c r="A16" s="16" t="s">
        <v>72</v>
      </c>
      <c r="B16" s="10" t="s">
        <v>48</v>
      </c>
      <c r="C16" s="15">
        <v>250</v>
      </c>
      <c r="D16" s="10">
        <v>20</v>
      </c>
      <c r="E16" s="11" t="s">
        <v>30</v>
      </c>
      <c r="F16" s="12" t="s">
        <v>73</v>
      </c>
      <c r="G16" s="18">
        <v>46128</v>
      </c>
      <c r="H16" s="11" t="str">
        <f t="shared" si="0"/>
        <v>ES</v>
      </c>
      <c r="I16" s="14" t="str">
        <f t="shared" si="1"/>
        <v>Headphones Bose</v>
      </c>
    </row>
    <row r="17" spans="1:9" ht="15.75" customHeight="1">
      <c r="A17" s="17" t="s">
        <v>74</v>
      </c>
      <c r="B17" s="11" t="s">
        <v>75</v>
      </c>
      <c r="C17" s="15">
        <v>50</v>
      </c>
      <c r="D17" s="11">
        <v>35</v>
      </c>
      <c r="E17" s="11" t="s">
        <v>76</v>
      </c>
      <c r="F17" s="12" t="s">
        <v>77</v>
      </c>
      <c r="G17" s="18">
        <v>46255</v>
      </c>
      <c r="H17" s="11" t="str">
        <f t="shared" si="0"/>
        <v>CA</v>
      </c>
      <c r="I17" s="14" t="str">
        <f t="shared" si="1"/>
        <v>Laptop Bag Samsonite</v>
      </c>
    </row>
    <row r="18" spans="1:9" ht="15.75" customHeight="1">
      <c r="A18" s="16" t="s">
        <v>78</v>
      </c>
      <c r="B18" s="10" t="s">
        <v>70</v>
      </c>
      <c r="C18" s="15">
        <v>160</v>
      </c>
      <c r="D18" s="10">
        <v>15</v>
      </c>
      <c r="E18" s="11" t="s">
        <v>30</v>
      </c>
      <c r="F18" s="12" t="s">
        <v>79</v>
      </c>
      <c r="G18" s="18">
        <v>46254</v>
      </c>
      <c r="H18" s="11" t="str">
        <f t="shared" si="0"/>
        <v>CN</v>
      </c>
      <c r="I18" s="14" t="str">
        <f t="shared" si="1"/>
        <v>Smartwatch Huawei</v>
      </c>
    </row>
    <row r="19" spans="1:9" ht="15.75" customHeight="1">
      <c r="A19" s="17" t="s">
        <v>80</v>
      </c>
      <c r="B19" s="11" t="s">
        <v>29</v>
      </c>
      <c r="C19" s="15">
        <v>980</v>
      </c>
      <c r="D19" s="11">
        <v>10</v>
      </c>
      <c r="E19" s="11" t="s">
        <v>30</v>
      </c>
      <c r="F19" s="12" t="s">
        <v>81</v>
      </c>
      <c r="G19" s="18">
        <v>46049</v>
      </c>
      <c r="H19" s="11" t="str">
        <f t="shared" si="0"/>
        <v>IT</v>
      </c>
      <c r="I19" s="14" t="str">
        <f t="shared" si="1"/>
        <v>Laptop Asus</v>
      </c>
    </row>
    <row r="20" spans="1:9" ht="15.75" customHeight="1">
      <c r="A20" s="16" t="s">
        <v>82</v>
      </c>
      <c r="B20" s="10" t="s">
        <v>83</v>
      </c>
      <c r="C20" s="15">
        <v>150</v>
      </c>
      <c r="D20" s="10">
        <v>15</v>
      </c>
      <c r="E20" s="11" t="s">
        <v>34</v>
      </c>
      <c r="F20" s="12" t="s">
        <v>84</v>
      </c>
      <c r="G20" s="18">
        <v>46082</v>
      </c>
      <c r="H20" s="11" t="str">
        <f t="shared" si="0"/>
        <v>UK</v>
      </c>
      <c r="I20" s="14" t="str">
        <f t="shared" si="1"/>
        <v>Sunglasses Oakley</v>
      </c>
    </row>
    <row r="21" spans="1:9" ht="15.75" customHeight="1">
      <c r="A21" s="17" t="s">
        <v>85</v>
      </c>
      <c r="B21" s="11" t="s">
        <v>86</v>
      </c>
      <c r="C21" s="15">
        <v>30</v>
      </c>
      <c r="D21" s="11">
        <v>10</v>
      </c>
      <c r="E21" s="11" t="s">
        <v>62</v>
      </c>
      <c r="F21" s="12" t="s">
        <v>87</v>
      </c>
      <c r="G21" s="18">
        <v>46248</v>
      </c>
      <c r="H21" s="11" t="str">
        <f t="shared" si="0"/>
        <v>US</v>
      </c>
      <c r="I21" s="14" t="str">
        <f t="shared" si="1"/>
        <v>Camping Tent Coleman</v>
      </c>
    </row>
    <row r="22" spans="1:9" ht="15.75" customHeight="1">
      <c r="A22" s="16" t="s">
        <v>88</v>
      </c>
      <c r="B22" s="10" t="s">
        <v>89</v>
      </c>
      <c r="C22" s="15">
        <v>700</v>
      </c>
      <c r="D22" s="10">
        <v>50</v>
      </c>
      <c r="E22" s="11" t="s">
        <v>30</v>
      </c>
      <c r="F22" s="12" t="s">
        <v>90</v>
      </c>
      <c r="G22" s="18">
        <v>46156</v>
      </c>
      <c r="H22" s="11" t="str">
        <f t="shared" si="0"/>
        <v>RU</v>
      </c>
      <c r="I22" s="14" t="str">
        <f t="shared" si="1"/>
        <v>Camera Nikon</v>
      </c>
    </row>
    <row r="23" spans="1:9" ht="15.75" customHeight="1">
      <c r="A23" s="17" t="s">
        <v>91</v>
      </c>
      <c r="B23" s="11" t="s">
        <v>92</v>
      </c>
      <c r="C23" s="15">
        <v>80</v>
      </c>
      <c r="D23" s="11">
        <v>20</v>
      </c>
      <c r="E23" s="11" t="s">
        <v>38</v>
      </c>
      <c r="F23" s="12" t="s">
        <v>93</v>
      </c>
      <c r="G23" s="18">
        <v>46031</v>
      </c>
      <c r="H23" s="11" t="str">
        <f t="shared" si="0"/>
        <v>CA</v>
      </c>
      <c r="I23" s="14" t="str">
        <f t="shared" si="1"/>
        <v>Microwave Panasonic</v>
      </c>
    </row>
    <row r="24" spans="1:9" ht="15.75" customHeight="1">
      <c r="A24" s="16" t="s">
        <v>94</v>
      </c>
      <c r="B24" s="10" t="s">
        <v>95</v>
      </c>
      <c r="C24" s="15">
        <v>150</v>
      </c>
      <c r="D24" s="10">
        <v>30</v>
      </c>
      <c r="E24" s="11" t="s">
        <v>45</v>
      </c>
      <c r="F24" s="12" t="s">
        <v>96</v>
      </c>
      <c r="G24" s="18">
        <v>46222</v>
      </c>
      <c r="H24" s="11" t="str">
        <f t="shared" si="0"/>
        <v>BR</v>
      </c>
      <c r="I24" s="14" t="str">
        <f t="shared" si="1"/>
        <v>Fitness Tracker Xiaomi</v>
      </c>
    </row>
    <row r="25" spans="1:9" ht="15.75" customHeight="1">
      <c r="A25" s="16" t="s">
        <v>97</v>
      </c>
      <c r="B25" s="10" t="s">
        <v>41</v>
      </c>
      <c r="C25" s="15">
        <v>800</v>
      </c>
      <c r="D25" s="10">
        <v>45</v>
      </c>
      <c r="E25" s="11" t="s">
        <v>30</v>
      </c>
      <c r="F25" s="12" t="s">
        <v>98</v>
      </c>
      <c r="G25" s="18">
        <v>46294</v>
      </c>
      <c r="H25" s="11" t="str">
        <f t="shared" si="0"/>
        <v>CA</v>
      </c>
      <c r="I25" s="14" t="str">
        <f t="shared" si="1"/>
        <v>Smartphone Google</v>
      </c>
    </row>
    <row r="26" spans="1:9" ht="15.75" customHeight="1">
      <c r="A26" s="17" t="s">
        <v>99</v>
      </c>
      <c r="B26" s="11" t="s">
        <v>83</v>
      </c>
      <c r="C26" s="15">
        <v>30</v>
      </c>
      <c r="D26" s="11">
        <v>25</v>
      </c>
      <c r="E26" s="11" t="s">
        <v>34</v>
      </c>
      <c r="F26" s="12" t="s">
        <v>100</v>
      </c>
      <c r="G26" s="18">
        <v>46176</v>
      </c>
      <c r="H26" s="11" t="str">
        <f t="shared" si="0"/>
        <v>CA</v>
      </c>
      <c r="I26" s="14" t="str">
        <f t="shared" si="1"/>
        <v>Sunglasses Ray-Ban</v>
      </c>
    </row>
    <row r="27" spans="1:9" ht="15.75" customHeight="1">
      <c r="A27" s="16" t="s">
        <v>101</v>
      </c>
      <c r="B27" s="10" t="s">
        <v>55</v>
      </c>
      <c r="C27" s="15">
        <v>400</v>
      </c>
      <c r="D27" s="10">
        <v>40</v>
      </c>
      <c r="E27" s="11" t="s">
        <v>38</v>
      </c>
      <c r="F27" s="12" t="s">
        <v>102</v>
      </c>
      <c r="G27" s="18">
        <v>46214</v>
      </c>
      <c r="H27" s="11" t="str">
        <f t="shared" si="0"/>
        <v>CA</v>
      </c>
      <c r="I27" s="14" t="str">
        <f t="shared" si="1"/>
        <v>Blender Vitamix</v>
      </c>
    </row>
    <row r="28" spans="1:9" ht="15.75" customHeight="1">
      <c r="A28" s="16" t="s">
        <v>103</v>
      </c>
      <c r="B28" s="10" t="s">
        <v>104</v>
      </c>
      <c r="C28" s="15">
        <v>60</v>
      </c>
      <c r="D28" s="10">
        <v>30</v>
      </c>
      <c r="E28" s="11" t="s">
        <v>34</v>
      </c>
      <c r="F28" s="12" t="s">
        <v>105</v>
      </c>
      <c r="G28" s="18">
        <v>46088</v>
      </c>
      <c r="H28" s="11" t="str">
        <f t="shared" si="0"/>
        <v>CA</v>
      </c>
      <c r="I28" s="14" t="str">
        <f t="shared" si="1"/>
        <v>Dress Zara</v>
      </c>
    </row>
    <row r="29" spans="1:9" ht="15.75" customHeight="1">
      <c r="A29" s="17" t="s">
        <v>106</v>
      </c>
      <c r="B29" s="11" t="s">
        <v>107</v>
      </c>
      <c r="C29" s="15">
        <v>40</v>
      </c>
      <c r="D29" s="11">
        <v>10</v>
      </c>
      <c r="E29" s="11" t="s">
        <v>38</v>
      </c>
      <c r="F29" s="12" t="s">
        <v>108</v>
      </c>
      <c r="G29" s="18">
        <v>46125</v>
      </c>
      <c r="H29" s="11" t="str">
        <f t="shared" si="0"/>
        <v>CA</v>
      </c>
      <c r="I29" s="14" t="str">
        <f t="shared" si="1"/>
        <v>Toaster Hamilton</v>
      </c>
    </row>
    <row r="30" spans="1:9" ht="15.75" customHeight="1">
      <c r="A30" s="16" t="s">
        <v>109</v>
      </c>
      <c r="B30" s="10" t="s">
        <v>95</v>
      </c>
      <c r="C30" s="15">
        <v>130</v>
      </c>
      <c r="D30" s="10">
        <v>5</v>
      </c>
      <c r="E30" s="11" t="s">
        <v>30</v>
      </c>
      <c r="F30" s="12" t="s">
        <v>110</v>
      </c>
      <c r="G30" s="18">
        <v>46166</v>
      </c>
      <c r="H30" s="11" t="str">
        <f t="shared" si="0"/>
        <v>CA</v>
      </c>
      <c r="I30" s="14" t="str">
        <f t="shared" si="1"/>
        <v>Fitness Tracker Garmin</v>
      </c>
    </row>
    <row r="31" spans="1:9" ht="15.75" customHeight="1">
      <c r="A31" s="17" t="s">
        <v>111</v>
      </c>
      <c r="B31" s="11" t="s">
        <v>112</v>
      </c>
      <c r="C31" s="15">
        <v>50</v>
      </c>
      <c r="D31" s="11">
        <v>50</v>
      </c>
      <c r="E31" s="11" t="s">
        <v>34</v>
      </c>
      <c r="F31" s="12" t="s">
        <v>113</v>
      </c>
      <c r="G31" s="18">
        <v>46358</v>
      </c>
      <c r="H31" s="11" t="str">
        <f t="shared" si="0"/>
        <v>CA</v>
      </c>
      <c r="I31" s="14" t="str">
        <f t="shared" si="1"/>
        <v>Jeans Levi's</v>
      </c>
    </row>
    <row r="32" spans="1:9" ht="15.75" customHeight="1">
      <c r="A32" s="17" t="s">
        <v>114</v>
      </c>
      <c r="B32" s="11" t="s">
        <v>115</v>
      </c>
      <c r="C32" s="15">
        <v>100</v>
      </c>
      <c r="D32" s="11">
        <v>20</v>
      </c>
      <c r="E32" s="11" t="s">
        <v>76</v>
      </c>
      <c r="F32" s="11" t="s">
        <v>116</v>
      </c>
      <c r="G32" s="18">
        <v>46212</v>
      </c>
      <c r="H32" s="11" t="str">
        <f t="shared" si="0"/>
        <v>FR</v>
      </c>
      <c r="I32" s="14" t="str">
        <f t="shared" si="1"/>
        <v>Watch Casio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32">
    <cfRule type="cellIs" dxfId="12" priority="2" operator="equal">
      <formula>Electronics</formula>
    </cfRule>
  </conditionalFormatting>
  <conditionalFormatting sqref="E2:E32">
    <cfRule type="expression" dxfId="11" priority="1">
      <formula>E2="Electronics"</formula>
    </cfRule>
  </conditionalFormatting>
  <dataValidations count="1">
    <dataValidation type="textLength" allowBlank="1" showInputMessage="1" showErrorMessage="1" prompt="can 1 to 10" sqref="E2:E10" xr:uid="{716274D7-B0EB-485C-9148-4C77D9BFCB64}">
      <formula1>1</formula1>
      <formula2>10</formula2>
    </dataValidation>
  </dataValidations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2026-09-22T06:18:25Z</dcterms:created>
  <dcterms:modified xsi:type="dcterms:W3CDTF">2026-09-29T05:40:14Z</dcterms:modified>
  <cp:category/>
  <cp:contentStatus/>
</cp:coreProperties>
</file>